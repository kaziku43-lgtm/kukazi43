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tect\semester2\webdevelop\Media\"/>
    </mc:Choice>
  </mc:AlternateContent>
  <xr:revisionPtr revIDLastSave="0" documentId="8_{94F9D108-3C8D-4E66-852D-204CFA682840}" xr6:coauthVersionLast="47" xr6:coauthVersionMax="47" xr10:uidLastSave="{00000000-0000-0000-0000-000000000000}"/>
  <bookViews>
    <workbookView xWindow="-120" yWindow="-120" windowWidth="29040" windowHeight="15720" activeTab="2" xr2:uid="{3F6D00C8-9245-40C8-9637-EF5FF2433C2B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C3" i="2"/>
  <c r="C4" i="2"/>
  <c r="C5" i="2"/>
  <c r="C6" i="2"/>
  <c r="C7" i="2"/>
  <c r="C8" i="2"/>
  <c r="C9" i="2"/>
  <c r="C10" i="2"/>
  <c r="C11" i="2"/>
  <c r="C2" i="2"/>
  <c r="G3" i="1"/>
  <c r="G5" i="1"/>
  <c r="G6" i="1"/>
  <c r="G7" i="1"/>
  <c r="G8" i="1"/>
  <c r="G9" i="1"/>
  <c r="G10" i="1"/>
  <c r="G11" i="1"/>
  <c r="G12" i="1"/>
  <c r="I4" i="1"/>
  <c r="I5" i="1"/>
  <c r="I6" i="1"/>
  <c r="I7" i="1"/>
  <c r="I8" i="1"/>
  <c r="I9" i="1"/>
  <c r="I10" i="1"/>
  <c r="I11" i="1"/>
  <c r="I12" i="1"/>
  <c r="I3" i="1"/>
  <c r="H12" i="1"/>
  <c r="H11" i="1"/>
  <c r="H10" i="1"/>
  <c r="H9" i="1"/>
  <c r="H8" i="1"/>
  <c r="H7" i="1"/>
  <c r="H6" i="1"/>
  <c r="H5" i="1"/>
  <c r="H4" i="1"/>
  <c r="H3" i="1"/>
  <c r="G4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<sst xmlns="http://schemas.openxmlformats.org/spreadsheetml/2006/main" count="58" uniqueCount="56">
  <si>
    <t>No</t>
  </si>
  <si>
    <t>Name KH</t>
  </si>
  <si>
    <t>Name EN</t>
  </si>
  <si>
    <t>ការប្រើ flash fill</t>
  </si>
  <si>
    <t>ចាប វិបុល</t>
  </si>
  <si>
    <t>ចេង បុរី</t>
  </si>
  <si>
    <t>ឈុន លីហួរ</t>
  </si>
  <si>
    <t>ជូ វេងហ៊ូ</t>
  </si>
  <si>
    <t>ជុំ ចារិទ្ធិ</t>
  </si>
  <si>
    <t>ដិប សេងលាប</t>
  </si>
  <si>
    <t>អៀវ បញ្ញាវឌ្ឍនា</t>
  </si>
  <si>
    <t>ហង្ស វិរៈយុទ្ធ</t>
  </si>
  <si>
    <t>ហ៊ាន ម៉េងលី</t>
  </si>
  <si>
    <t>ហេង​ សៀវម៉ី</t>
  </si>
  <si>
    <t>ការប្រើ &amp;</t>
  </si>
  <si>
    <t>ការប្រើ concat</t>
  </si>
  <si>
    <t xml:space="preserve">ការប្រើ ដើម្បីចាប់ First Name </t>
  </si>
  <si>
    <t>ការប្រើ right ដើម្បីចាប់ Last Name</t>
  </si>
  <si>
    <t>D3&amp; " " &amp;E3</t>
  </si>
  <si>
    <t>CONCAT(D5," ",E3)</t>
  </si>
  <si>
    <t>LEFT(B3,FIND(" ", B3)-1)</t>
  </si>
  <si>
    <t>RIGHT(B3,LEN(B3)-FIND(" ",B3))</t>
  </si>
  <si>
    <t>Chap Vibol</t>
  </si>
  <si>
    <t>Chap Borey</t>
  </si>
  <si>
    <t>Chhun Luhour</t>
  </si>
  <si>
    <t>Chou Venghou</t>
  </si>
  <si>
    <t>Chum Charthy</t>
  </si>
  <si>
    <t>Doeb Sengleap</t>
  </si>
  <si>
    <t>Eav Panhavatana</t>
  </si>
  <si>
    <t>Hang Vreakyuth</t>
  </si>
  <si>
    <t>Hean Mengly</t>
  </si>
  <si>
    <t>heng Sievmey</t>
  </si>
  <si>
    <t>ចាប</t>
  </si>
  <si>
    <t>ចេង</t>
  </si>
  <si>
    <t>ឈុន</t>
  </si>
  <si>
    <t>ជូ</t>
  </si>
  <si>
    <t>ជុំ</t>
  </si>
  <si>
    <t>ដិប</t>
  </si>
  <si>
    <t>អៀវ</t>
  </si>
  <si>
    <t>ហង្ស</t>
  </si>
  <si>
    <t>ហ៊ាន</t>
  </si>
  <si>
    <t>ហេង</t>
  </si>
  <si>
    <t>វិបុល</t>
  </si>
  <si>
    <t>បុរី</t>
  </si>
  <si>
    <t>លីហួរ</t>
  </si>
  <si>
    <t>វេងហ៊ូ</t>
  </si>
  <si>
    <t>ចារិទ្ធិ</t>
  </si>
  <si>
    <t>សេងលាប</t>
  </si>
  <si>
    <t>បញ្ញាវឌ្ឍនា</t>
  </si>
  <si>
    <t>យុទ្ធ</t>
  </si>
  <si>
    <t>ម៉េងលី</t>
  </si>
  <si>
    <t>សៀវម៉ី</t>
  </si>
  <si>
    <t>បញ្ចូល</t>
  </si>
  <si>
    <t>Code</t>
  </si>
  <si>
    <t>Result</t>
  </si>
  <si>
    <t>បញ្ញូល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</si>
</sst>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\ &quot;Riel&quot;"/>
    <numFmt numFmtId="165" formatCode="#,##0\ &quot;៛&quot;"/>
    <numFmt numFmtId="166" formatCode="#,##0\ &quot;រៀល&quot;"/>
    <numFmt numFmtId="167" formatCode="#,##0\ &quot;USD&quot;"/>
    <numFmt numFmtId="168" formatCode="#,##0\ &quot;$&quot;"/>
    <numFmt numFmtId="169" formatCode="&quot;$&quot;\ #,##0"/>
    <numFmt numFmtId="170" formatCode="#,##0\ &quot;ដុល្លារ&quot;"/>
    <numFmt numFmtId="171" formatCode="#,##0\ &quot;pt&quot;"/>
    <numFmt numFmtId="172" formatCode="000"/>
    <numFmt numFmtId="173" formatCode="&quot;code00&quot;0"/>
    <numFmt numFmtId="174" formatCode="ddd\-mmm\-yyyy"/>
    <numFmt numFmtId="175" formatCode="ddd\-mmm\-yy"/>
    <numFmt numFmtId="176" formatCode="ddd\ mmm\ yyyy"/>
    <numFmt numFmtId="177" formatCode="dd\-\ mmmm\-yy"/>
    <numFmt numFmtId="178" formatCode="[$-12000453]\ dd\-mmmm\-yyyy"/>
    <numFmt numFmtId="179" formatCode="dd\-mm\-yyyy"/>
    <numFmt numFmtId="180" formatCode="yyyy\-mmm\-ddd"/>
    <numFmt numFmtId="181" formatCode="dddd\-mmmm\-yyyy"/>
    <numFmt numFmtId="182" formatCode="yyyy\-dddd\-mmmm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Khmer OS Battambang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1" xfId="2" applyFont="1" applyBorder="1" applyAlignment="1">
      <alignment horizontal="center" vertical="center"/>
    </xf>
    <xf numFmtId="0" fontId="2" fillId="3" borderId="1" xfId="2" applyFont="1" applyBorder="1" applyAlignment="1">
      <alignment vertical="center"/>
    </xf>
    <xf numFmtId="0" fontId="2" fillId="2" borderId="1" xfId="1" applyFont="1" applyBorder="1" applyAlignment="1">
      <alignment vertical="center"/>
    </xf>
    <xf numFmtId="0" fontId="2" fillId="0" borderId="1" xfId="0" applyFont="1" applyBorder="1"/>
    <xf numFmtId="0" fontId="2" fillId="0" borderId="1" xfId="2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0" fontId="2" fillId="3" borderId="1" xfId="2" applyFont="1" applyBorder="1"/>
    <xf numFmtId="0" fontId="2" fillId="4" borderId="1" xfId="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4" borderId="1" xfId="3" applyNumberFormat="1" applyFont="1" applyBorder="1" applyAlignment="1">
      <alignment horizontal="center" vertical="center"/>
    </xf>
    <xf numFmtId="165" fontId="2" fillId="4" borderId="1" xfId="3" applyNumberFormat="1" applyFont="1" applyBorder="1" applyAlignment="1">
      <alignment horizontal="center" vertical="center"/>
    </xf>
    <xf numFmtId="166" fontId="2" fillId="4" borderId="1" xfId="3" applyNumberFormat="1" applyFont="1" applyBorder="1" applyAlignment="1">
      <alignment horizontal="center" vertical="center"/>
    </xf>
    <xf numFmtId="167" fontId="2" fillId="4" borderId="1" xfId="3" applyNumberFormat="1" applyFont="1" applyBorder="1" applyAlignment="1">
      <alignment horizontal="center" vertical="center"/>
    </xf>
    <xf numFmtId="168" fontId="2" fillId="4" borderId="1" xfId="3" applyNumberFormat="1" applyFont="1" applyBorder="1" applyAlignment="1">
      <alignment horizontal="center" vertical="center"/>
    </xf>
    <xf numFmtId="169" fontId="2" fillId="4" borderId="1" xfId="3" applyNumberFormat="1" applyFont="1" applyBorder="1" applyAlignment="1">
      <alignment horizontal="center" vertical="center"/>
    </xf>
    <xf numFmtId="170" fontId="2" fillId="4" borderId="1" xfId="3" applyNumberFormat="1" applyFont="1" applyBorder="1" applyAlignment="1">
      <alignment horizontal="center" vertical="center"/>
    </xf>
    <xf numFmtId="171" fontId="2" fillId="4" borderId="1" xfId="3" applyNumberFormat="1" applyFont="1" applyBorder="1" applyAlignment="1">
      <alignment horizontal="center" vertical="center"/>
    </xf>
    <xf numFmtId="172" fontId="2" fillId="4" borderId="1" xfId="3" applyNumberFormat="1" applyFont="1" applyBorder="1" applyAlignment="1">
      <alignment horizontal="center" vertical="center"/>
    </xf>
    <xf numFmtId="173" fontId="2" fillId="4" borderId="1" xfId="3" applyNumberFormat="1" applyFont="1" applyBorder="1" applyAlignment="1">
      <alignment horizontal="center" vertical="center"/>
    </xf>
    <xf numFmtId="14" fontId="2" fillId="4" borderId="1" xfId="3" applyNumberFormat="1" applyFont="1" applyBorder="1"/>
    <xf numFmtId="175" fontId="2" fillId="4" borderId="1" xfId="3" applyNumberFormat="1" applyFont="1" applyBorder="1"/>
    <xf numFmtId="176" fontId="2" fillId="4" borderId="1" xfId="3" applyNumberFormat="1" applyFont="1" applyBorder="1"/>
    <xf numFmtId="177" fontId="2" fillId="4" borderId="1" xfId="3" applyNumberFormat="1" applyFont="1" applyBorder="1"/>
    <xf numFmtId="178" fontId="2" fillId="4" borderId="1" xfId="3" applyNumberFormat="1" applyFont="1" applyBorder="1"/>
    <xf numFmtId="179" fontId="2" fillId="4" borderId="1" xfId="3" applyNumberFormat="1" applyFont="1" applyBorder="1"/>
    <xf numFmtId="174" fontId="2" fillId="4" borderId="1" xfId="3" applyNumberFormat="1" applyFont="1" applyBorder="1"/>
    <xf numFmtId="180" fontId="2" fillId="4" borderId="1" xfId="3" applyNumberFormat="1" applyFont="1" applyBorder="1"/>
    <xf numFmtId="181" fontId="2" fillId="4" borderId="1" xfId="3" applyNumberFormat="1" applyFont="1" applyBorder="1"/>
    <xf numFmtId="182" fontId="2" fillId="4" borderId="1" xfId="3" applyNumberFormat="1" applyFont="1" applyBorder="1"/>
    <xf numFmtId="14" fontId="2" fillId="0" borderId="1" xfId="0" applyNumberFormat="1" applyFont="1" applyBorder="1" applyAlignment="1">
      <alignment horizontal="center" vertical="center"/>
    </xf>
    <xf numFmtId="0" fontId="2" fillId="3" borderId="4" xfId="2" applyFont="1" applyBorder="1" applyAlignment="1">
      <alignment horizontal="center" vertical="center"/>
    </xf>
    <xf numFmtId="0" fontId="2" fillId="3" borderId="5" xfId="2" applyFont="1" applyBorder="1" applyAlignment="1">
      <alignment horizontal="center" vertical="center"/>
    </xf>
    <xf numFmtId="0" fontId="2" fillId="3" borderId="6" xfId="2" applyFont="1" applyBorder="1" applyAlignment="1">
      <alignment horizontal="center" vertical="center"/>
    </xf>
    <xf numFmtId="0" fontId="2" fillId="3" borderId="7" xfId="2" applyFont="1" applyBorder="1" applyAlignment="1">
      <alignment horizontal="center" vertical="center"/>
    </xf>
    <xf numFmtId="0" fontId="2" fillId="3" borderId="2" xfId="2" applyFont="1" applyBorder="1" applyAlignment="1">
      <alignment horizontal="center" vertical="center"/>
    </xf>
    <xf numFmtId="0" fontId="2" fillId="3" borderId="3" xfId="2" applyFont="1" applyBorder="1" applyAlignment="1">
      <alignment horizontal="center" vertical="center"/>
    </xf>
  </cellXfs>
  <cellStyles count="4">
    <cellStyle name="20% - Accent1" xfId="1" builtinId="30"/>
    <cellStyle name="20% - Accent3" xfId="3" builtinId="38"/>
    <cellStyle name="20% - Accent4" xfId="2" builtinId="4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59709-DB14-4FAA-A607-37A844890C18}">
  <dimension ref="A1:I16"/>
  <sheetViews>
    <sheetView topLeftCell="A8" zoomScale="85" zoomScaleNormal="85" workbookViewId="0">
      <selection activeCell="B19" sqref="B19"/>
    </sheetView>
  </sheetViews>
  <sheetFormatPr defaultRowHeight="15" x14ac:dyDescent="0.25"/>
  <cols>
    <col min="1" max="1" width="3.5703125" bestFit="1" customWidth="1"/>
    <col min="2" max="2" width="15" style="1" bestFit="1" customWidth="1"/>
    <col min="3" max="3" width="16.28515625" style="1" bestFit="1" customWidth="1"/>
    <col min="4" max="4" width="5.42578125" style="1" bestFit="1" customWidth="1"/>
    <col min="5" max="5" width="10.42578125" bestFit="1" customWidth="1"/>
    <col min="6" max="6" width="14.7109375" bestFit="1" customWidth="1"/>
    <col min="7" max="7" width="20.28515625" bestFit="1" customWidth="1"/>
    <col min="8" max="8" width="27.5703125" bestFit="1" customWidth="1"/>
    <col min="9" max="9" width="33.42578125" bestFit="1" customWidth="1"/>
    <col min="10" max="10" width="15.85546875" bestFit="1" customWidth="1"/>
  </cols>
  <sheetData>
    <row r="1" spans="1:9" ht="23.25" x14ac:dyDescent="0.25">
      <c r="A1" s="37" t="s">
        <v>0</v>
      </c>
      <c r="B1" s="37" t="s">
        <v>1</v>
      </c>
      <c r="C1" s="37" t="s">
        <v>2</v>
      </c>
      <c r="D1" s="33" t="s">
        <v>3</v>
      </c>
      <c r="E1" s="34"/>
      <c r="F1" s="3" t="s">
        <v>14</v>
      </c>
      <c r="G1" s="3" t="s">
        <v>15</v>
      </c>
      <c r="H1" s="3" t="s">
        <v>16</v>
      </c>
      <c r="I1" s="3" t="s">
        <v>17</v>
      </c>
    </row>
    <row r="2" spans="1:9" ht="23.25" x14ac:dyDescent="0.25">
      <c r="A2" s="38"/>
      <c r="B2" s="38"/>
      <c r="C2" s="38"/>
      <c r="D2" s="35"/>
      <c r="E2" s="36"/>
      <c r="F2" s="3" t="s">
        <v>18</v>
      </c>
      <c r="G2" s="3" t="s">
        <v>19</v>
      </c>
      <c r="H2" s="3" t="s">
        <v>20</v>
      </c>
      <c r="I2" s="3" t="s">
        <v>21</v>
      </c>
    </row>
    <row r="3" spans="1:9" ht="23.25" x14ac:dyDescent="0.65">
      <c r="A3" s="3">
        <v>1</v>
      </c>
      <c r="B3" s="4" t="s">
        <v>4</v>
      </c>
      <c r="C3" s="4" t="s">
        <v>22</v>
      </c>
      <c r="D3" s="4" t="s">
        <v>32</v>
      </c>
      <c r="E3" s="5" t="s">
        <v>42</v>
      </c>
      <c r="F3" s="5" t="str">
        <f>D3&amp;" " &amp;E3</f>
        <v>ចាប វិបុល</v>
      </c>
      <c r="G3" s="9" t="str">
        <f>_xlfn.CONCAT(D3," ",E3)</f>
        <v>ចាប វិបុល</v>
      </c>
      <c r="H3" s="9" t="str">
        <f>LEFT(B3,FIND(" ",B3)-1)</f>
        <v>ចាប</v>
      </c>
      <c r="I3" s="9" t="str">
        <f>RIGHT(B3,LEN(B3)-FIND(" ",B3))</f>
        <v>វិបុល</v>
      </c>
    </row>
    <row r="4" spans="1:9" ht="23.25" x14ac:dyDescent="0.65">
      <c r="A4" s="3">
        <v>2</v>
      </c>
      <c r="B4" s="4" t="s">
        <v>5</v>
      </c>
      <c r="C4" s="4" t="s">
        <v>23</v>
      </c>
      <c r="D4" s="7" t="s">
        <v>33</v>
      </c>
      <c r="E4" s="8" t="s">
        <v>43</v>
      </c>
      <c r="F4" s="6" t="str">
        <f t="shared" ref="F4:F12" si="0">D4&amp;" " &amp;E4</f>
        <v>ចេង បុរី</v>
      </c>
      <c r="G4" s="6" t="str">
        <f t="shared" ref="G4:G12" si="1">_xlfn.CONCAT(D4," ",E4)</f>
        <v>ចេង បុរី</v>
      </c>
      <c r="H4" s="6" t="str">
        <f t="shared" ref="H4:H12" si="2">LEFT(B4,FIND(" ",B4)-1)</f>
        <v>ចេង</v>
      </c>
      <c r="I4" s="6" t="str">
        <f t="shared" ref="I4:I12" si="3">RIGHT(B4,LEN(B4)-FIND(" ",B4))</f>
        <v>បុរី</v>
      </c>
    </row>
    <row r="5" spans="1:9" ht="23.25" x14ac:dyDescent="0.65">
      <c r="A5" s="3">
        <v>3</v>
      </c>
      <c r="B5" s="4" t="s">
        <v>6</v>
      </c>
      <c r="C5" s="4" t="s">
        <v>24</v>
      </c>
      <c r="D5" s="7" t="s">
        <v>34</v>
      </c>
      <c r="E5" s="8" t="s">
        <v>44</v>
      </c>
      <c r="F5" s="6" t="str">
        <f t="shared" si="0"/>
        <v>ឈុន លីហួរ</v>
      </c>
      <c r="G5" s="6" t="str">
        <f t="shared" si="1"/>
        <v>ឈុន លីហួរ</v>
      </c>
      <c r="H5" s="6" t="str">
        <f t="shared" si="2"/>
        <v>ឈុន</v>
      </c>
      <c r="I5" s="6" t="str">
        <f t="shared" si="3"/>
        <v>លីហួរ</v>
      </c>
    </row>
    <row r="6" spans="1:9" ht="23.25" x14ac:dyDescent="0.65">
      <c r="A6" s="3">
        <v>4</v>
      </c>
      <c r="B6" s="4" t="s">
        <v>7</v>
      </c>
      <c r="C6" s="4" t="s">
        <v>25</v>
      </c>
      <c r="D6" s="7" t="s">
        <v>35</v>
      </c>
      <c r="E6" s="8" t="s">
        <v>45</v>
      </c>
      <c r="F6" s="6" t="str">
        <f t="shared" si="0"/>
        <v>ជូ វេងហ៊ូ</v>
      </c>
      <c r="G6" s="6" t="str">
        <f t="shared" si="1"/>
        <v>ជូ វេងហ៊ូ</v>
      </c>
      <c r="H6" s="6" t="str">
        <f t="shared" si="2"/>
        <v>ជូ</v>
      </c>
      <c r="I6" s="6" t="str">
        <f t="shared" si="3"/>
        <v>វេងហ៊ូ</v>
      </c>
    </row>
    <row r="7" spans="1:9" ht="23.25" x14ac:dyDescent="0.65">
      <c r="A7" s="3">
        <v>5</v>
      </c>
      <c r="B7" s="4" t="s">
        <v>8</v>
      </c>
      <c r="C7" s="4" t="s">
        <v>26</v>
      </c>
      <c r="D7" s="7" t="s">
        <v>36</v>
      </c>
      <c r="E7" s="8" t="s">
        <v>46</v>
      </c>
      <c r="F7" s="6" t="str">
        <f t="shared" si="0"/>
        <v>ជុំ ចារិទ្ធិ</v>
      </c>
      <c r="G7" s="6" t="str">
        <f t="shared" si="1"/>
        <v>ជុំ ចារិទ្ធិ</v>
      </c>
      <c r="H7" s="6" t="str">
        <f t="shared" si="2"/>
        <v>ជុំ</v>
      </c>
      <c r="I7" s="6" t="str">
        <f t="shared" si="3"/>
        <v>ចារិទ្ធិ</v>
      </c>
    </row>
    <row r="8" spans="1:9" ht="23.25" x14ac:dyDescent="0.65">
      <c r="A8" s="3">
        <v>6</v>
      </c>
      <c r="B8" s="4" t="s">
        <v>9</v>
      </c>
      <c r="C8" s="4" t="s">
        <v>27</v>
      </c>
      <c r="D8" s="7" t="s">
        <v>37</v>
      </c>
      <c r="E8" s="8" t="s">
        <v>47</v>
      </c>
      <c r="F8" s="6" t="str">
        <f t="shared" si="0"/>
        <v>ដិប សេងលាប</v>
      </c>
      <c r="G8" s="6" t="str">
        <f t="shared" si="1"/>
        <v>ដិប សេងលាប</v>
      </c>
      <c r="H8" s="6" t="str">
        <f t="shared" si="2"/>
        <v>ដិប</v>
      </c>
      <c r="I8" s="6" t="str">
        <f t="shared" si="3"/>
        <v>សេងលាប</v>
      </c>
    </row>
    <row r="9" spans="1:9" ht="23.25" x14ac:dyDescent="0.65">
      <c r="A9" s="3">
        <v>7</v>
      </c>
      <c r="B9" s="4" t="s">
        <v>10</v>
      </c>
      <c r="C9" s="4" t="s">
        <v>28</v>
      </c>
      <c r="D9" s="7" t="s">
        <v>38</v>
      </c>
      <c r="E9" s="8" t="s">
        <v>48</v>
      </c>
      <c r="F9" s="6" t="str">
        <f t="shared" si="0"/>
        <v>អៀវ បញ្ញាវឌ្ឍនា</v>
      </c>
      <c r="G9" s="6" t="str">
        <f t="shared" si="1"/>
        <v>អៀវ បញ្ញាវឌ្ឍនា</v>
      </c>
      <c r="H9" s="6" t="str">
        <f t="shared" si="2"/>
        <v>អៀវ</v>
      </c>
      <c r="I9" s="6" t="str">
        <f t="shared" si="3"/>
        <v>បញ្ញាវឌ្ឍនា</v>
      </c>
    </row>
    <row r="10" spans="1:9" ht="23.25" x14ac:dyDescent="0.65">
      <c r="A10" s="3">
        <v>8</v>
      </c>
      <c r="B10" s="4" t="s">
        <v>11</v>
      </c>
      <c r="C10" s="4" t="s">
        <v>29</v>
      </c>
      <c r="D10" s="7" t="s">
        <v>39</v>
      </c>
      <c r="E10" s="8" t="s">
        <v>49</v>
      </c>
      <c r="F10" s="6" t="str">
        <f t="shared" si="0"/>
        <v>ហង្ស យុទ្ធ</v>
      </c>
      <c r="G10" s="6" t="str">
        <f t="shared" si="1"/>
        <v>ហង្ស យុទ្ធ</v>
      </c>
      <c r="H10" s="6" t="str">
        <f t="shared" si="2"/>
        <v>ហង្ស</v>
      </c>
      <c r="I10" s="6" t="str">
        <f t="shared" si="3"/>
        <v>វិរៈយុទ្ធ</v>
      </c>
    </row>
    <row r="11" spans="1:9" ht="23.25" x14ac:dyDescent="0.65">
      <c r="A11" s="3">
        <v>9</v>
      </c>
      <c r="B11" s="4" t="s">
        <v>12</v>
      </c>
      <c r="C11" s="4" t="s">
        <v>30</v>
      </c>
      <c r="D11" s="7" t="s">
        <v>40</v>
      </c>
      <c r="E11" s="8" t="s">
        <v>50</v>
      </c>
      <c r="F11" s="6" t="str">
        <f t="shared" si="0"/>
        <v>ហ៊ាន ម៉េងលី</v>
      </c>
      <c r="G11" s="6" t="str">
        <f t="shared" si="1"/>
        <v>ហ៊ាន ម៉េងលី</v>
      </c>
      <c r="H11" s="6" t="str">
        <f t="shared" si="2"/>
        <v>ហ៊ាន</v>
      </c>
      <c r="I11" s="6" t="str">
        <f t="shared" si="3"/>
        <v>ម៉េងលី</v>
      </c>
    </row>
    <row r="12" spans="1:9" ht="23.25" x14ac:dyDescent="0.65">
      <c r="A12" s="3">
        <v>10</v>
      </c>
      <c r="B12" s="4" t="s">
        <v>13</v>
      </c>
      <c r="C12" s="4" t="s">
        <v>31</v>
      </c>
      <c r="D12" s="7" t="s">
        <v>41</v>
      </c>
      <c r="E12" s="8" t="s">
        <v>51</v>
      </c>
      <c r="F12" s="6" t="str">
        <f t="shared" si="0"/>
        <v>ហេង សៀវម៉ី</v>
      </c>
      <c r="G12" s="6" t="str">
        <f t="shared" si="1"/>
        <v>ហេង សៀវម៉ី</v>
      </c>
      <c r="H12" s="6" t="str">
        <f t="shared" si="2"/>
        <v>ហេង​</v>
      </c>
      <c r="I12" s="6" t="str">
        <f t="shared" si="3"/>
        <v>សៀវម៉ី</v>
      </c>
    </row>
    <row r="13" spans="1:9" x14ac:dyDescent="0.25">
      <c r="B13"/>
      <c r="C13"/>
      <c r="D13"/>
    </row>
    <row r="14" spans="1:9" x14ac:dyDescent="0.25">
      <c r="B14"/>
      <c r="C14"/>
      <c r="D14"/>
    </row>
    <row r="15" spans="1:9" x14ac:dyDescent="0.25">
      <c r="B15"/>
      <c r="C15"/>
      <c r="D15"/>
    </row>
    <row r="16" spans="1:9" x14ac:dyDescent="0.25">
      <c r="A16" s="2"/>
    </row>
  </sheetData>
  <mergeCells count="4">
    <mergeCell ref="D1:E2"/>
    <mergeCell ref="B1:B2"/>
    <mergeCell ref="C1:C2"/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06B-FB01-4DCB-B73D-FA1461FAECFD}">
  <dimension ref="A1:G11"/>
  <sheetViews>
    <sheetView workbookViewId="0">
      <selection activeCell="A14" sqref="A14"/>
    </sheetView>
  </sheetViews>
  <sheetFormatPr defaultRowHeight="15" x14ac:dyDescent="0.25"/>
  <cols>
    <col min="3" max="3" width="13.42578125" bestFit="1" customWidth="1"/>
    <col min="5" max="5" width="12" customWidth="1"/>
    <col min="6" max="6" width="22.7109375" customWidth="1"/>
    <col min="7" max="7" width="29.85546875" customWidth="1"/>
  </cols>
  <sheetData>
    <row r="1" spans="1:7" ht="23.25" x14ac:dyDescent="0.25">
      <c r="A1" s="10" t="s">
        <v>52</v>
      </c>
      <c r="B1" s="10" t="s">
        <v>53</v>
      </c>
      <c r="C1" s="10" t="s">
        <v>54</v>
      </c>
      <c r="E1" s="10" t="s">
        <v>55</v>
      </c>
      <c r="F1" s="10" t="s">
        <v>53</v>
      </c>
      <c r="G1" s="10" t="s">
        <v>54</v>
      </c>
    </row>
    <row r="2" spans="1:7" ht="23.25" x14ac:dyDescent="0.65">
      <c r="A2" s="11">
        <v>33</v>
      </c>
      <c r="B2" s="10"/>
      <c r="C2" s="20">
        <f>A2</f>
        <v>33</v>
      </c>
      <c r="E2" s="32">
        <v>46024</v>
      </c>
      <c r="F2" s="6"/>
      <c r="G2" s="23">
        <f>E2</f>
        <v>46024</v>
      </c>
    </row>
    <row r="3" spans="1:7" ht="23.25" x14ac:dyDescent="0.65">
      <c r="A3" s="11">
        <v>31</v>
      </c>
      <c r="B3" s="10"/>
      <c r="C3" s="21">
        <f t="shared" ref="C3:C11" si="0">A3</f>
        <v>31</v>
      </c>
      <c r="E3" s="32">
        <v>46024</v>
      </c>
      <c r="F3" s="6"/>
      <c r="G3" s="24">
        <f t="shared" ref="G3:G11" si="1">E3</f>
        <v>46024</v>
      </c>
    </row>
    <row r="4" spans="1:7" ht="23.25" x14ac:dyDescent="0.65">
      <c r="A4" s="11">
        <v>80</v>
      </c>
      <c r="B4" s="10"/>
      <c r="C4" s="19">
        <f t="shared" si="0"/>
        <v>80</v>
      </c>
      <c r="E4" s="32">
        <v>46055</v>
      </c>
      <c r="F4" s="6"/>
      <c r="G4" s="25">
        <f t="shared" si="1"/>
        <v>46055</v>
      </c>
    </row>
    <row r="5" spans="1:7" ht="23.25" x14ac:dyDescent="0.65">
      <c r="A5" s="11">
        <v>40000</v>
      </c>
      <c r="B5" s="10"/>
      <c r="C5" s="12">
        <f t="shared" si="0"/>
        <v>40000</v>
      </c>
      <c r="E5" s="32">
        <v>46083</v>
      </c>
      <c r="F5" s="6"/>
      <c r="G5" s="26">
        <f t="shared" si="1"/>
        <v>46083</v>
      </c>
    </row>
    <row r="6" spans="1:7" ht="23.25" x14ac:dyDescent="0.65">
      <c r="A6" s="11">
        <v>40000</v>
      </c>
      <c r="B6" s="10"/>
      <c r="C6" s="13">
        <f t="shared" si="0"/>
        <v>40000</v>
      </c>
      <c r="E6" s="32">
        <v>46114</v>
      </c>
      <c r="F6" s="6"/>
      <c r="G6" s="22">
        <f t="shared" si="1"/>
        <v>46114</v>
      </c>
    </row>
    <row r="7" spans="1:7" ht="23.25" x14ac:dyDescent="0.65">
      <c r="A7" s="11">
        <v>40000</v>
      </c>
      <c r="B7" s="10"/>
      <c r="C7" s="14">
        <f t="shared" si="0"/>
        <v>40000</v>
      </c>
      <c r="E7" s="32">
        <v>46144</v>
      </c>
      <c r="F7" s="6"/>
      <c r="G7" s="27">
        <f t="shared" si="1"/>
        <v>46144</v>
      </c>
    </row>
    <row r="8" spans="1:7" ht="23.25" x14ac:dyDescent="0.65">
      <c r="A8" s="11">
        <v>2000</v>
      </c>
      <c r="B8" s="10"/>
      <c r="C8" s="15">
        <f t="shared" si="0"/>
        <v>2000</v>
      </c>
      <c r="E8" s="32">
        <v>46175</v>
      </c>
      <c r="F8" s="6"/>
      <c r="G8" s="28">
        <f t="shared" si="1"/>
        <v>46175</v>
      </c>
    </row>
    <row r="9" spans="1:7" ht="23.25" x14ac:dyDescent="0.65">
      <c r="A9" s="11">
        <v>90</v>
      </c>
      <c r="B9" s="10"/>
      <c r="C9" s="16">
        <f t="shared" si="0"/>
        <v>90</v>
      </c>
      <c r="E9" s="32">
        <v>46205</v>
      </c>
      <c r="F9" s="6"/>
      <c r="G9" s="29">
        <f t="shared" si="1"/>
        <v>46205</v>
      </c>
    </row>
    <row r="10" spans="1:7" ht="23.25" x14ac:dyDescent="0.65">
      <c r="A10" s="11">
        <v>3050</v>
      </c>
      <c r="B10" s="10"/>
      <c r="C10" s="17">
        <f t="shared" si="0"/>
        <v>3050</v>
      </c>
      <c r="E10" s="32">
        <v>46236</v>
      </c>
      <c r="F10" s="6"/>
      <c r="G10" s="30">
        <f t="shared" si="1"/>
        <v>46236</v>
      </c>
    </row>
    <row r="11" spans="1:7" ht="23.25" x14ac:dyDescent="0.65">
      <c r="A11" s="11">
        <v>3</v>
      </c>
      <c r="B11" s="10"/>
      <c r="C11" s="18">
        <f t="shared" si="0"/>
        <v>3</v>
      </c>
      <c r="E11" s="32">
        <v>46267</v>
      </c>
      <c r="F11" s="6"/>
      <c r="G11" s="31">
        <f t="shared" si="1"/>
        <v>46267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ABFA-BCBC-4546-8D61-8E38ACCFC85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Siev</dc:creator>
  <cp:lastModifiedBy>Long Siev</cp:lastModifiedBy>
  <cp:lastPrinted>2026-03-08T05:22:22Z</cp:lastPrinted>
  <dcterms:created xsi:type="dcterms:W3CDTF">2026-03-08T00:18:28Z</dcterms:created>
  <dcterms:modified xsi:type="dcterms:W3CDTF">2026-08-10T04:33:24Z</dcterms:modified>
</cp:coreProperties>
</file>